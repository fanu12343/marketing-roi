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43\EXCELCNV\d943d25b-08b1-478a-9523-99821b067054\"/>
    </mc:Choice>
  </mc:AlternateContent>
  <xr:revisionPtr revIDLastSave="0" documentId="8_{F8B93719-7FB9-4B38-A4BF-E522A436D885}" xr6:coauthVersionLast="47" xr6:coauthVersionMax="47" xr10:uidLastSave="{00000000-0000-0000-0000-000000000000}"/>
  <bookViews>
    <workbookView xWindow="-60" yWindow="-60" windowWidth="15480" windowHeight="11640" firstSheet="4" activeTab="4" xr2:uid="{063D8458-1321-45F2-AB9A-AFE502ADA7EE}"/>
  </bookViews>
  <sheets>
    <sheet name="Sheet1" sheetId="5" r:id="rId1"/>
    <sheet name="channel" sheetId="1" r:id="rId2"/>
    <sheet name="campaign" sheetId="2" r:id="rId3"/>
    <sheet name="cohorat_analysis" sheetId="3" r:id="rId4"/>
    <sheet name="pivot_dashboard" sheetId="4" r:id="rId5"/>
  </sheets>
  <definedNames>
    <definedName name="Slicer_channel">#N/A</definedName>
  </definedNames>
  <calcPr calcId="191028"/>
  <pivotCaches>
    <pivotCache cacheId="1232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<sst xmlns="http://schemas.openxmlformats.org/spreadsheetml/2006/main" count="32" uniqueCount="27">
  <si>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channel</t>
  </si>
  <si>
    <t>total_customers</t>
  </si>
  <si>
    <t>total_spend</t>
  </si>
  <si>
    <t>total_conversions</t>
  </si>
  <si>
    <t>total_revenue</t>
  </si>
  <si>
    <t>CAC</t>
  </si>
  <si>
    <t>ROI</t>
  </si>
  <si>
    <t>Store</t>
  </si>
  <si>
    <t>Web</t>
  </si>
  <si>
    <t>Catalog</t>
  </si>
  <si>
    <t>campaign</t>
  </si>
  <si>
    <t>total_accepted</t>
  </si>
  <si>
    <t>accepted_rate</t>
  </si>
  <si>
    <t>campaign_rank</t>
  </si>
  <si>
    <t>campaign4</t>
  </si>
  <si>
    <t>campaign3</t>
  </si>
  <si>
    <t>campaign5</t>
  </si>
  <si>
    <t>campaign1</t>
  </si>
  <si>
    <t>campaign2</t>
  </si>
  <si>
    <t>cohort_month</t>
  </si>
  <si>
    <t>avg_spend_per_customer</t>
  </si>
  <si>
    <t>cohort_total_spend</t>
  </si>
  <si>
    <t>Sum of total_spend</t>
  </si>
  <si>
    <t>Sum of total_conversions</t>
  </si>
  <si>
    <t>Sum of CAC</t>
  </si>
  <si>
    <t>Sum of ROI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</si>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</sst>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Border="1" applyAlignment="1"/>
    <xf numFmtId="14" fontId="18" fillId="0" borderId="0" xfId="0" applyNumberFormat="1" applyFont="1" applyBorder="1" applyAlignment="1"/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and pivot table.xlsx]pivot_dashboard!PivotTable1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Performance — Spend vs 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pivot_dashboard!$B$1</c:f>
              <c:strCache>
                <c:ptCount val="1"/>
                <c:pt idx="0">
                  <c:v>Sum of total_spend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pivot_dashboard!$A$2:$A$5</c:f>
              <c:strCache>
                <c:ptCount val="3"/>
                <c:pt idx="0">
                  <c:v>Catalog</c:v>
                </c:pt>
                <c:pt idx="1">
                  <c:v>Store</c:v>
                </c:pt>
                <c:pt idx="2">
                  <c:v>Web</c:v>
                </c:pt>
              </c:strCache>
            </c:strRef>
          </c:cat>
          <c:val>
            <c:numRef>
              <c:f>pivot_dashboard!$B$2:$B$5</c:f>
              <c:numCache>
                <c:formatCode>General</c:formatCode>
                <c:ptCount val="3"/>
                <c:pt idx="0">
                  <c:v>1323650</c:v>
                </c:pt>
                <c:pt idx="1">
                  <c:v>1350346</c:v>
                </c:pt>
                <c:pt idx="2">
                  <c:v>1347357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3FE-444D-A9E3-EB2FB0093E02}"/>
            </c:ext>
          </c:extLst>
        </c:ser>
        <c:ser>
          <c:idx val="1"/>
          <c:order val="1"/>
          <c:tx>
            <c:strRef>
              <c:f>pivot_dashboard!$C$1</c:f>
              <c:strCache>
                <c:ptCount val="1"/>
                <c:pt idx="0">
                  <c:v>Sum of total_conversions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pivot_dashboard!$A$2:$A$5</c:f>
              <c:strCache>
                <c:ptCount val="3"/>
                <c:pt idx="0">
                  <c:v>Catalog</c:v>
                </c:pt>
                <c:pt idx="1">
                  <c:v>Store</c:v>
                </c:pt>
                <c:pt idx="2">
                  <c:v>Web</c:v>
                </c:pt>
              </c:strCache>
            </c:strRef>
          </c:cat>
          <c:val>
            <c:numRef>
              <c:f>pivot_dashboard!$C$2:$C$5</c:f>
              <c:numCache>
                <c:formatCode>General</c:formatCode>
                <c:ptCount val="3"/>
                <c:pt idx="0">
                  <c:v>441</c:v>
                </c:pt>
                <c:pt idx="1">
                  <c:v>462</c:v>
                </c:pt>
                <c:pt idx="2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3FE-444D-A9E3-EB2FB0093E02}"/>
            </c:ext>
          </c:extLst>
        </c:ser>
        <c:ser>
          <c:idx val="2"/>
          <c:order val="2"/>
          <c:tx>
            <c:strRef>
              <c:f>pivot_dashboard!$D$1</c:f>
              <c:strCache>
                <c:ptCount val="1"/>
                <c:pt idx="0">
                  <c:v>Sum of CAC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pivot_dashboard!$A$2:$A$5</c:f>
              <c:strCache>
                <c:ptCount val="3"/>
                <c:pt idx="0">
                  <c:v>Catalog</c:v>
                </c:pt>
                <c:pt idx="1">
                  <c:v>Store</c:v>
                </c:pt>
                <c:pt idx="2">
                  <c:v>Web</c:v>
                </c:pt>
              </c:strCache>
            </c:strRef>
          </c:cat>
          <c:val>
            <c:numRef>
              <c:f>pivot_dashboard!$D$2:$D$5</c:f>
              <c:numCache>
                <c:formatCode>General</c:formatCode>
                <c:ptCount val="3"/>
                <c:pt idx="0">
                  <c:v>3001.4739229024899</c:v>
                </c:pt>
                <c:pt idx="1">
                  <c:v>2922.8268398268301</c:v>
                </c:pt>
                <c:pt idx="2">
                  <c:v>2922.68329718004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3FE-444D-A9E3-EB2FB0093E02}"/>
            </c:ext>
          </c:extLst>
        </c:ser>
        <c:ser>
          <c:idx val="3"/>
          <c:order val="3"/>
          <c:tx>
            <c:strRef>
              <c:f>pivot_dashboard!$E$1</c:f>
              <c:strCache>
                <c:ptCount val="1"/>
                <c:pt idx="0">
                  <c:v>Sum of ROI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pivot_dashboard!$A$2:$A$5</c:f>
              <c:strCache>
                <c:ptCount val="3"/>
                <c:pt idx="0">
                  <c:v>Catalog</c:v>
                </c:pt>
                <c:pt idx="1">
                  <c:v>Store</c:v>
                </c:pt>
                <c:pt idx="2">
                  <c:v>Web</c:v>
                </c:pt>
              </c:strCache>
            </c:strRef>
          </c:cat>
          <c:val>
            <c:numRef>
              <c:f>pivot_dashboard!$E$2:$E$5</c:f>
              <c:numCache>
                <c:formatCode>General</c:formatCode>
                <c:ptCount val="3"/>
                <c:pt idx="0">
                  <c:v>-98.63</c:v>
                </c:pt>
                <c:pt idx="1">
                  <c:v>-98.19</c:v>
                </c:pt>
                <c:pt idx="2">
                  <c:v>-98.21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3FE-444D-A9E3-EB2FB0093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004359"/>
        <c:axId val="1196006407"/>
      </c:barChart>
      <c:catAx>
        <c:axId val="1196004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006407"/>
        <c:crosses val="autoZero"/>
        <c:auto val="1"/>
        <c:lblAlgn val="ctr"/>
        <c:lblOffset val="100"/>
        <c:noMultiLvlLbl val="0"/>
      </c:catAx>
      <c:valAx>
        <c:axId val="1196006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004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</xdr:row>
      <xdr:rowOff>19050</xdr:rowOff>
    </xdr:from>
    <xdr:to>
      <xdr:col>4</xdr:col>
      <xdr:colOff>800100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8F103-453F-35D4-561A-1C965CFA9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28575</xdr:colOff>
      <xdr:row>0</xdr:row>
      <xdr:rowOff>0</xdr:rowOff>
    </xdr:from>
    <xdr:to>
      <xdr:col>8</xdr:col>
      <xdr:colOff>28575</xdr:colOff>
      <xdr:row>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hannel">
              <a:extLst>
                <a:ext uri="{FF2B5EF4-FFF2-40B4-BE49-F238E27FC236}">
                  <a16:creationId xmlns:a16="http://schemas.microsoft.com/office/drawing/2014/main" id="{84262399-30C5-0F41-5CE4-53F274DB6B6A}"/>
                </a:ext>
                <a:ext uri="{147F2762-F138-4A5C-976F-8EAC2B608ADB}">
                  <a16:predDERef xmlns:a16="http://schemas.microsoft.com/office/drawing/2014/main" pred="{28A8F103-453F-35D4-561A-1C965CFA90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4925" y="0"/>
              <a:ext cx="1828800" cy="1085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3.734121180554" createdVersion="8" refreshedVersion="8" minRefreshableVersion="3" recordCount="3" xr:uid="{466CE972-50F6-45FE-BEBD-A4204FCBB7EA}">
  <cacheSource type="worksheet">
    <worksheetSource ref="A1:G4" sheet="channel"/>
  </cacheSource>
  <cacheFields count="7">
    <cacheField name="channel" numFmtId="0">
      <sharedItems count="3">
        <s v="Store"/>
        <s v="Web"/>
        <s v="Catalog"/>
      </sharedItems>
    </cacheField>
    <cacheField name="total_customers" numFmtId="0">
      <sharedItems containsSemiMixedTypes="0" containsString="0" containsNumber="1" containsInteger="1" minValue="1654" maxValue="2225"/>
    </cacheField>
    <cacheField name="total_spend" numFmtId="0">
      <sharedItems containsSemiMixedTypes="0" containsString="0" containsNumber="1" containsInteger="1" minValue="1323650" maxValue="1350346"/>
    </cacheField>
    <cacheField name="total_conversions" numFmtId="0">
      <sharedItems containsSemiMixedTypes="0" containsString="0" containsNumber="1" containsInteger="1" minValue="441" maxValue="462"/>
    </cacheField>
    <cacheField name="total_revenue" numFmtId="0">
      <sharedItems containsSemiMixedTypes="0" containsString="0" containsNumber="1" containsInteger="1" minValue="18194" maxValue="24475"/>
    </cacheField>
    <cacheField name="CAC" numFmtId="0">
      <sharedItems containsSemiMixedTypes="0" containsString="0" containsNumber="1" minValue="2922.68329718004" maxValue="3001.4739229024899"/>
    </cacheField>
    <cacheField name="ROI" numFmtId="0">
      <sharedItems containsSemiMixedTypes="0" containsString="0" containsNumber="1" minValue="-98.63" maxValue="-98.19"/>
    </cacheField>
  </cacheFields>
  <extLst>
    <ext xmlns:x14="http://schemas.microsoft.com/office/spreadsheetml/2009/9/main" uri="{725AE2AE-9491-48be-B2B4-4EB974FC3084}">
      <x14:pivotCacheDefinition pivotCacheId="1075113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225"/>
    <n v="1350346"/>
    <n v="462"/>
    <n v="24475"/>
    <n v="2922.8268398268301"/>
    <n v="-98.19"/>
  </r>
  <r>
    <x v="1"/>
    <n v="2191"/>
    <n v="1347357"/>
    <n v="461"/>
    <n v="24101"/>
    <n v="2922.68329718004"/>
    <n v="-98.21"/>
  </r>
  <r>
    <x v="2"/>
    <n v="1654"/>
    <n v="1323650"/>
    <n v="441"/>
    <n v="18194"/>
    <n v="3001.4739229024899"/>
    <n v="-98.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2F52A-D2B0-4235-B14F-784C0746FB9D}" name="PivotTable1" cacheId="12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13D80-C794-442E-80A8-94ED60CD9734}" name="PivotTable1" cacheId="12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1:E5" firstHeaderRow="0" firstDataRow="1" firstDataCol="1"/>
  <pivotFields count="7"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spend" fld="2" baseField="0" baseItem="0"/>
    <dataField name="Sum of total_conversions" fld="3" baseField="0" baseItem="0"/>
    <dataField name="Sum of CAC" fld="5" baseField="0" baseItem="0"/>
    <dataField name="Sum of ROI" fld="6" baseField="0" baseItem="0"/>
  </dataFields>
  <chartFormats count="28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" xr10:uid="{C4DB2949-D5AC-45C4-B66C-1C5D9F0730BC}" sourceName="channel">
  <pivotTables>
    <pivotTable tabId="4" name="PivotTable1"/>
  </pivotTables>
  <data>
    <tabular pivotCacheId="107511347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hannel" xr10:uid="{094ABA15-891A-4F2F-8D31-C4619987B1B3}" cache="Slicer_channel" caption="channel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7A37-F1B7-43F3-BCFE-51BB3815E428}">
  <dimension ref="A3:C20"/>
  <sheetViews>
    <sheetView workbookViewId="0">
      <selection activeCell="B14" sqref="B14"/>
    </sheetView>
  </sheetViews>
  <sheetFormatPr defaultRowHeight="15"/>
  <sheetData>
    <row r="3" spans="1:3">
      <c r="A3" s="4"/>
      <c r="B3" s="5"/>
      <c r="C3" s="6"/>
    </row>
    <row r="4" spans="1:3">
      <c r="A4" s="7"/>
      <c r="B4" s="8"/>
      <c r="C4" s="9"/>
    </row>
    <row r="5" spans="1:3">
      <c r="A5" s="7"/>
      <c r="B5" s="8"/>
      <c r="C5" s="9"/>
    </row>
    <row r="6" spans="1:3">
      <c r="A6" s="7"/>
      <c r="B6" s="8"/>
      <c r="C6" s="9"/>
    </row>
    <row r="7" spans="1:3">
      <c r="A7" s="7"/>
      <c r="B7" s="8"/>
      <c r="C7" s="9"/>
    </row>
    <row r="8" spans="1:3">
      <c r="A8" s="7"/>
      <c r="B8" s="8"/>
      <c r="C8" s="9"/>
    </row>
    <row r="9" spans="1:3">
      <c r="A9" s="7"/>
      <c r="B9" s="8"/>
      <c r="C9" s="9"/>
    </row>
    <row r="10" spans="1:3">
      <c r="A10" s="7"/>
      <c r="B10" s="8"/>
      <c r="C10" s="9"/>
    </row>
    <row r="11" spans="1:3">
      <c r="A11" s="7"/>
      <c r="B11" s="8"/>
      <c r="C11" s="9"/>
    </row>
    <row r="12" spans="1:3">
      <c r="A12" s="7"/>
      <c r="B12" s="8"/>
      <c r="C12" s="9"/>
    </row>
    <row r="13" spans="1:3">
      <c r="A13" s="7"/>
      <c r="B13" s="8"/>
      <c r="C13" s="9"/>
    </row>
    <row r="14" spans="1:3">
      <c r="A14" s="7"/>
      <c r="B14" s="8"/>
      <c r="C14" s="9"/>
    </row>
    <row r="15" spans="1:3">
      <c r="A15" s="7"/>
      <c r="B15" s="8"/>
      <c r="C15" s="9"/>
    </row>
    <row r="16" spans="1:3">
      <c r="A16" s="7"/>
      <c r="B16" s="8"/>
      <c r="C16" s="9"/>
    </row>
    <row r="17" spans="1:3">
      <c r="A17" s="7"/>
      <c r="B17" s="8"/>
      <c r="C17" s="9"/>
    </row>
    <row r="18" spans="1:3">
      <c r="A18" s="7"/>
      <c r="B18" s="8"/>
      <c r="C18" s="9"/>
    </row>
    <row r="19" spans="1:3">
      <c r="A19" s="7"/>
      <c r="B19" s="8"/>
      <c r="C19" s="9"/>
    </row>
    <row r="20" spans="1:3">
      <c r="A20" s="10"/>
      <c r="B20" s="11"/>
      <c r="C2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44AB-E5CE-42D9-BB3D-5D90BB53FE01}">
  <dimension ref="A1:G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2225</v>
      </c>
      <c r="C2">
        <v>1350346</v>
      </c>
      <c r="D2">
        <v>462</v>
      </c>
      <c r="E2">
        <v>24475</v>
      </c>
      <c r="F2">
        <v>2922.8268398268301</v>
      </c>
      <c r="G2">
        <v>-98.19</v>
      </c>
    </row>
    <row r="3" spans="1:7">
      <c r="A3" t="s">
        <v>8</v>
      </c>
      <c r="B3">
        <v>2191</v>
      </c>
      <c r="C3">
        <v>1347357</v>
      </c>
      <c r="D3">
        <v>461</v>
      </c>
      <c r="E3">
        <v>24101</v>
      </c>
      <c r="F3">
        <v>2922.68329718004</v>
      </c>
      <c r="G3">
        <v>-98.21</v>
      </c>
    </row>
    <row r="4" spans="1:7">
      <c r="A4" t="s">
        <v>9</v>
      </c>
      <c r="B4">
        <v>1654</v>
      </c>
      <c r="C4">
        <v>1323650</v>
      </c>
      <c r="D4">
        <v>441</v>
      </c>
      <c r="E4">
        <v>18194</v>
      </c>
      <c r="F4">
        <v>3001.4739229024899</v>
      </c>
      <c r="G4">
        <v>-98.63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2FC0-2722-4861-97F1-B630DE543F48}">
  <dimension ref="A1:D6"/>
  <sheetViews>
    <sheetView workbookViewId="0">
      <selection activeCell="F7" sqref="F7"/>
    </sheetView>
  </sheetViews>
  <sheetFormatPr defaultRowHeight="15"/>
  <cols>
    <col min="3" max="3" width="10.42578125" bestFit="1" customWidth="1"/>
    <col min="4" max="4" width="14" bestFit="1" customWidth="1"/>
    <col min="5" max="5" width="13.42578125" bestFit="1" customWidth="1"/>
    <col min="6" max="6" width="14.28515625" bestFit="1" customWidth="1"/>
  </cols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s="1" t="s">
        <v>14</v>
      </c>
      <c r="B2" s="1">
        <v>167</v>
      </c>
      <c r="C2" s="1">
        <v>7.46</v>
      </c>
      <c r="D2" s="1">
        <v>1</v>
      </c>
    </row>
    <row r="3" spans="1:4">
      <c r="A3" s="1" t="s">
        <v>15</v>
      </c>
      <c r="B3" s="1">
        <v>163</v>
      </c>
      <c r="C3" s="1">
        <v>7.28</v>
      </c>
      <c r="D3" s="1">
        <v>2</v>
      </c>
    </row>
    <row r="4" spans="1:4">
      <c r="A4" s="1" t="s">
        <v>16</v>
      </c>
      <c r="B4" s="1">
        <v>163</v>
      </c>
      <c r="C4" s="1">
        <v>7.28</v>
      </c>
      <c r="D4" s="1">
        <v>2</v>
      </c>
    </row>
    <row r="5" spans="1:4">
      <c r="A5" s="1" t="s">
        <v>17</v>
      </c>
      <c r="B5" s="1">
        <v>144</v>
      </c>
      <c r="C5" s="1">
        <v>6.43</v>
      </c>
      <c r="D5" s="1">
        <v>4</v>
      </c>
    </row>
    <row r="6" spans="1:4">
      <c r="A6" s="1" t="s">
        <v>18</v>
      </c>
      <c r="B6" s="1">
        <v>30</v>
      </c>
      <c r="C6" s="1">
        <v>1.34</v>
      </c>
      <c r="D6" s="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E887-DDB1-49CB-B9B2-19734CC627FC}">
  <dimension ref="A1:D25"/>
  <sheetViews>
    <sheetView workbookViewId="0">
      <selection activeCell="G11" sqref="G11"/>
    </sheetView>
  </sheetViews>
  <sheetFormatPr defaultRowHeight="15"/>
  <cols>
    <col min="1" max="1" width="13.42578125" bestFit="1" customWidth="1"/>
    <col min="2" max="2" width="15.140625" bestFit="1" customWidth="1"/>
    <col min="3" max="3" width="23.5703125" bestFit="1" customWidth="1"/>
    <col min="4" max="4" width="18.140625" bestFit="1" customWidth="1"/>
  </cols>
  <sheetData>
    <row r="1" spans="1:4">
      <c r="A1" s="1" t="s">
        <v>19</v>
      </c>
      <c r="B1" s="1" t="s">
        <v>1</v>
      </c>
      <c r="C1" s="1" t="s">
        <v>20</v>
      </c>
      <c r="D1" s="1" t="s">
        <v>21</v>
      </c>
    </row>
    <row r="2" spans="1:4">
      <c r="A2" s="2">
        <v>41091</v>
      </c>
      <c r="B2" s="1">
        <v>2</v>
      </c>
      <c r="C2" s="1">
        <v>678.5</v>
      </c>
      <c r="D2" s="1">
        <v>1357</v>
      </c>
    </row>
    <row r="3" spans="1:4">
      <c r="A3" s="2">
        <v>41122</v>
      </c>
      <c r="B3" s="1">
        <v>118</v>
      </c>
      <c r="C3" s="1">
        <v>780.05</v>
      </c>
      <c r="D3" s="1">
        <v>92046</v>
      </c>
    </row>
    <row r="4" spans="1:4">
      <c r="A4" s="2">
        <v>41153</v>
      </c>
      <c r="B4" s="1">
        <v>99</v>
      </c>
      <c r="C4" s="1">
        <v>863.56</v>
      </c>
      <c r="D4" s="1">
        <v>85492</v>
      </c>
    </row>
    <row r="5" spans="1:4">
      <c r="A5" s="2">
        <v>41183</v>
      </c>
      <c r="B5" s="1">
        <v>95</v>
      </c>
      <c r="C5" s="1">
        <v>682.13</v>
      </c>
      <c r="D5" s="1">
        <v>64802</v>
      </c>
    </row>
    <row r="6" spans="1:4">
      <c r="A6" s="2">
        <v>41214</v>
      </c>
      <c r="B6" s="1">
        <v>97</v>
      </c>
      <c r="C6" s="1">
        <v>795.77</v>
      </c>
      <c r="D6" s="1">
        <v>77190</v>
      </c>
    </row>
    <row r="7" spans="1:4">
      <c r="A7" s="2">
        <v>41244</v>
      </c>
      <c r="B7" s="1">
        <v>83</v>
      </c>
      <c r="C7" s="1">
        <v>570.87</v>
      </c>
      <c r="D7" s="1">
        <v>47382</v>
      </c>
    </row>
    <row r="8" spans="1:4">
      <c r="A8" s="2">
        <v>41275</v>
      </c>
      <c r="B8" s="1">
        <v>107</v>
      </c>
      <c r="C8" s="1">
        <v>666.83</v>
      </c>
      <c r="D8" s="1">
        <v>71351</v>
      </c>
    </row>
    <row r="9" spans="1:4">
      <c r="A9" s="2">
        <v>41306</v>
      </c>
      <c r="B9" s="1">
        <v>100</v>
      </c>
      <c r="C9" s="1">
        <v>688.79</v>
      </c>
      <c r="D9" s="1">
        <v>68879</v>
      </c>
    </row>
    <row r="10" spans="1:4">
      <c r="A10" s="2">
        <v>41334</v>
      </c>
      <c r="B10" s="1">
        <v>102</v>
      </c>
      <c r="C10" s="1">
        <v>660.02</v>
      </c>
      <c r="D10" s="1">
        <v>67322</v>
      </c>
    </row>
    <row r="11" spans="1:4">
      <c r="A11" s="2">
        <v>41365</v>
      </c>
      <c r="B11" s="1">
        <v>88</v>
      </c>
      <c r="C11" s="1">
        <v>660.63</v>
      </c>
      <c r="D11" s="1">
        <v>58135</v>
      </c>
    </row>
    <row r="12" spans="1:4">
      <c r="A12" s="2">
        <v>41395</v>
      </c>
      <c r="B12" s="1">
        <v>104</v>
      </c>
      <c r="C12" s="1">
        <v>701.48</v>
      </c>
      <c r="D12" s="1">
        <v>72954</v>
      </c>
    </row>
    <row r="13" spans="1:4">
      <c r="A13" s="2">
        <v>41426</v>
      </c>
      <c r="B13" s="1">
        <v>92</v>
      </c>
      <c r="C13" s="1">
        <v>524.27</v>
      </c>
      <c r="D13" s="1">
        <v>48233</v>
      </c>
    </row>
    <row r="14" spans="1:4">
      <c r="A14" s="2">
        <v>41456</v>
      </c>
      <c r="B14" s="1">
        <v>99</v>
      </c>
      <c r="C14" s="1">
        <v>504.91</v>
      </c>
      <c r="D14" s="1">
        <v>49986</v>
      </c>
    </row>
    <row r="15" spans="1:4">
      <c r="A15" s="2">
        <v>41487</v>
      </c>
      <c r="B15" s="1">
        <v>104</v>
      </c>
      <c r="C15" s="1">
        <v>532.62</v>
      </c>
      <c r="D15" s="1">
        <v>55393</v>
      </c>
    </row>
    <row r="16" spans="1:4">
      <c r="A16" s="2">
        <v>41518</v>
      </c>
      <c r="B16" s="1">
        <v>94</v>
      </c>
      <c r="C16" s="1">
        <v>504.6</v>
      </c>
      <c r="D16" s="1">
        <v>47432</v>
      </c>
    </row>
    <row r="17" spans="1:4">
      <c r="A17" s="2">
        <v>41548</v>
      </c>
      <c r="B17" s="1">
        <v>117</v>
      </c>
      <c r="C17" s="1">
        <v>565.99</v>
      </c>
      <c r="D17" s="1">
        <v>66221</v>
      </c>
    </row>
    <row r="18" spans="1:4">
      <c r="A18" s="2">
        <v>41579</v>
      </c>
      <c r="B18" s="1">
        <v>90</v>
      </c>
      <c r="C18" s="1">
        <v>667.38</v>
      </c>
      <c r="D18" s="1">
        <v>60064</v>
      </c>
    </row>
    <row r="19" spans="1:4">
      <c r="A19" s="2">
        <v>41609</v>
      </c>
      <c r="B19" s="1">
        <v>92</v>
      </c>
      <c r="C19" s="1">
        <v>537.54999999999995</v>
      </c>
      <c r="D19" s="1">
        <v>49455</v>
      </c>
    </row>
    <row r="20" spans="1:4">
      <c r="A20" s="2">
        <v>41640</v>
      </c>
      <c r="B20" s="1">
        <v>90</v>
      </c>
      <c r="C20" s="1">
        <v>543.69000000000005</v>
      </c>
      <c r="D20" s="1">
        <v>48932</v>
      </c>
    </row>
    <row r="21" spans="1:4">
      <c r="A21" s="2">
        <v>41671</v>
      </c>
      <c r="B21" s="1">
        <v>78</v>
      </c>
      <c r="C21" s="1">
        <v>550.9</v>
      </c>
      <c r="D21" s="1">
        <v>42970</v>
      </c>
    </row>
    <row r="22" spans="1:4">
      <c r="A22" s="2">
        <v>41699</v>
      </c>
      <c r="B22" s="1">
        <v>109</v>
      </c>
      <c r="C22" s="1">
        <v>433.46</v>
      </c>
      <c r="D22" s="1">
        <v>47247</v>
      </c>
    </row>
    <row r="23" spans="1:4">
      <c r="A23" s="2">
        <v>41730</v>
      </c>
      <c r="B23" s="1">
        <v>94</v>
      </c>
      <c r="C23" s="1">
        <v>478.06</v>
      </c>
      <c r="D23" s="1">
        <v>44938</v>
      </c>
    </row>
    <row r="24" spans="1:4">
      <c r="A24" s="2">
        <v>41760</v>
      </c>
      <c r="B24" s="1">
        <v>112</v>
      </c>
      <c r="C24" s="1">
        <v>487.93</v>
      </c>
      <c r="D24" s="1">
        <v>54648</v>
      </c>
    </row>
    <row r="25" spans="1:4">
      <c r="A25" s="2">
        <v>41791</v>
      </c>
      <c r="B25" s="1">
        <v>74</v>
      </c>
      <c r="C25" s="1">
        <v>467.01</v>
      </c>
      <c r="D25" s="1">
        <v>34559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F166-5C15-4E8B-8401-76C95FE7B10F}">
  <dimension ref="A1:O7"/>
  <sheetViews>
    <sheetView tabSelected="1" workbookViewId="0">
      <selection activeCell="L14" sqref="L14"/>
    </sheetView>
  </sheetViews>
  <sheetFormatPr defaultRowHeight="15"/>
  <cols>
    <col min="1" max="1" width="11.42578125" bestFit="1" customWidth="1"/>
    <col min="2" max="2" width="18.28515625" bestFit="1" customWidth="1"/>
    <col min="3" max="3" width="23.42578125" bestFit="1" customWidth="1"/>
    <col min="4" max="4" width="12.28515625" bestFit="1" customWidth="1"/>
    <col min="5" max="5" width="10.85546875" bestFit="1" customWidth="1"/>
  </cols>
  <sheetData>
    <row r="1" spans="1:15">
      <c r="A1" s="13" t="s">
        <v>0</v>
      </c>
      <c r="B1" t="s">
        <v>22</v>
      </c>
      <c r="C1" t="s">
        <v>23</v>
      </c>
      <c r="D1" t="s">
        <v>24</v>
      </c>
      <c r="E1" t="s">
        <v>25</v>
      </c>
    </row>
    <row r="2" spans="1:15">
      <c r="A2" t="s">
        <v>9</v>
      </c>
      <c r="B2" s="14">
        <v>1323650</v>
      </c>
      <c r="C2" s="14">
        <v>441</v>
      </c>
      <c r="D2" s="14">
        <v>3001.4739229024899</v>
      </c>
      <c r="E2" s="14">
        <v>-98.63</v>
      </c>
    </row>
    <row r="3" spans="1:15">
      <c r="A3" t="s">
        <v>7</v>
      </c>
      <c r="B3" s="14">
        <v>1350346</v>
      </c>
      <c r="C3" s="14">
        <v>462</v>
      </c>
      <c r="D3" s="14">
        <v>2922.8268398268301</v>
      </c>
      <c r="E3" s="14">
        <v>-98.19</v>
      </c>
    </row>
    <row r="4" spans="1:15">
      <c r="A4" t="s">
        <v>8</v>
      </c>
      <c r="B4" s="14">
        <v>1347357</v>
      </c>
      <c r="C4" s="14">
        <v>461</v>
      </c>
      <c r="D4" s="14">
        <v>2922.68329718004</v>
      </c>
      <c r="E4" s="14">
        <v>-98.21</v>
      </c>
    </row>
    <row r="5" spans="1:15">
      <c r="A5" t="s">
        <v>26</v>
      </c>
      <c r="B5" s="14">
        <v>4021353</v>
      </c>
      <c r="C5" s="14">
        <v>1364</v>
      </c>
      <c r="D5" s="14">
        <v>8846.9840599093604</v>
      </c>
      <c r="E5" s="14">
        <v>-295.02999999999997</v>
      </c>
    </row>
    <row r="7" spans="1:15">
      <c r="O7" s="3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2026-05-11T11:45:28Z</dcterms:created>
  <dcterms:modified xsi:type="dcterms:W3CDTF">2026-05-12T05:50:51Z</dcterms:modified>
  <cp:category/>
  <cp:contentStatus/>
</cp:coreProperties>
</file>